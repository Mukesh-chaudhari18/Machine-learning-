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8_{79DC4DC3-F3D0-43C7-9237-249A4D528390}" xr6:coauthVersionLast="47" xr6:coauthVersionMax="47" xr10:uidLastSave="{00000000-0000-0000-0000-000000000000}"/>
  <bookViews>
    <workbookView xWindow="4800" yWindow="2840" windowWidth="14400" windowHeight="7360" xr2:uid="{F7CA5843-76D1-4D1D-8626-DFAEB118EFA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G5" i="2"/>
  <c r="G4" i="2"/>
  <c r="G3" i="2"/>
  <c r="G2" i="2"/>
  <c r="F3" i="2"/>
  <c r="F4" i="2"/>
  <c r="F5" i="2"/>
  <c r="F6" i="2"/>
  <c r="F7" i="2"/>
  <c r="F8" i="2"/>
  <c r="F9" i="2"/>
  <c r="F10" i="2"/>
  <c r="F11" i="2"/>
  <c r="F12" i="2"/>
  <c r="F2" i="2"/>
</calcChain>
</file>

<file path=xl/sharedStrings.xml><?xml version="1.0" encoding="utf-8"?>
<sst xmlns="http://schemas.openxmlformats.org/spreadsheetml/2006/main" count="32" uniqueCount="28">
  <si>
    <t>No of Hours</t>
  </si>
  <si>
    <t>Results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</si>
  <si>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</si>
  <si>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</si>
  <si>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</si>
  <si>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</si>
  <si>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</si>
  <si>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</si>
  <si>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</si>
  <si>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</si>
  <si>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</si>
  <si>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</si>
  <si>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</si>
  <si>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</si>
  <si>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</si>
  <si>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</si>
  <si>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</si>
  <si>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</si>
  <si>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</si>
  <si>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</si>
  <si>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</si>
  <si>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</si>
  <si>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</si>
  <si>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</si>
  <si>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</si>
  <si>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</si>
  <si>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Z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</si>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</sst>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Results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Sheet2!$D$2:$D$12</c:f>
              <c:numCache>
                <c:formatCode>General</c:formatCode>
                <c:ptCount val="11"/>
                <c:pt idx="0">
                  <c:v>1.5</c:v>
                </c:pt>
                <c:pt idx="1">
                  <c:v>2.1</c:v>
                </c:pt>
                <c:pt idx="2">
                  <c:v>4.5</c:v>
                </c:pt>
                <c:pt idx="3">
                  <c:v>6.9</c:v>
                </c:pt>
                <c:pt idx="4">
                  <c:v>8.5</c:v>
                </c:pt>
                <c:pt idx="5">
                  <c:v>2.4</c:v>
                </c:pt>
                <c:pt idx="6">
                  <c:v>7.8</c:v>
                </c:pt>
                <c:pt idx="7">
                  <c:v>0.2</c:v>
                </c:pt>
                <c:pt idx="8">
                  <c:v>9.5</c:v>
                </c:pt>
                <c:pt idx="9">
                  <c:v>11.89</c:v>
                </c:pt>
                <c:pt idx="10">
                  <c:v>16</c:v>
                </c:pt>
              </c:numCache>
            </c:numRef>
          </c:xVal>
          <c:yVal>
            <c:numRef>
              <c:f>Sheet2!$E$2:$E$12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6-46FB-B03D-82697FEA5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772143"/>
        <c:axId val="1056523007"/>
      </c:scatterChart>
      <c:valAx>
        <c:axId val="134377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23007"/>
        <c:crosses val="autoZero"/>
        <c:crossBetween val="midCat"/>
      </c:valAx>
      <c:valAx>
        <c:axId val="105652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7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Results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Sheet2!$D$4:$D$14</c:f>
              <c:numCache>
                <c:formatCode>General</c:formatCode>
                <c:ptCount val="11"/>
                <c:pt idx="0">
                  <c:v>4.5</c:v>
                </c:pt>
                <c:pt idx="1">
                  <c:v>6.9</c:v>
                </c:pt>
                <c:pt idx="2">
                  <c:v>8.5</c:v>
                </c:pt>
                <c:pt idx="3">
                  <c:v>2.4</c:v>
                </c:pt>
                <c:pt idx="4">
                  <c:v>7.8</c:v>
                </c:pt>
                <c:pt idx="5">
                  <c:v>0.2</c:v>
                </c:pt>
                <c:pt idx="6">
                  <c:v>9.5</c:v>
                </c:pt>
                <c:pt idx="7">
                  <c:v>11.89</c:v>
                </c:pt>
                <c:pt idx="8">
                  <c:v>16</c:v>
                </c:pt>
              </c:numCache>
            </c:numRef>
          </c:xVal>
          <c:yVal>
            <c:numRef>
              <c:f>Sheet2!$E$4:$E$14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9-4B87-A9C6-1362E9261B4E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Sheet2!$D$4:$D$14</c:f>
              <c:numCache>
                <c:formatCode>General</c:formatCode>
                <c:ptCount val="11"/>
                <c:pt idx="0">
                  <c:v>4.5</c:v>
                </c:pt>
                <c:pt idx="1">
                  <c:v>6.9</c:v>
                </c:pt>
                <c:pt idx="2">
                  <c:v>8.5</c:v>
                </c:pt>
                <c:pt idx="3">
                  <c:v>2.4</c:v>
                </c:pt>
                <c:pt idx="4">
                  <c:v>7.8</c:v>
                </c:pt>
                <c:pt idx="5">
                  <c:v>0.2</c:v>
                </c:pt>
                <c:pt idx="6">
                  <c:v>9.5</c:v>
                </c:pt>
                <c:pt idx="7">
                  <c:v>11.89</c:v>
                </c:pt>
                <c:pt idx="8">
                  <c:v>16</c:v>
                </c:pt>
              </c:numCache>
            </c:numRef>
          </c:xVal>
          <c:yVal>
            <c:numRef>
              <c:f>Sheet2!$F$4:$F$14</c:f>
              <c:numCache>
                <c:formatCode>General</c:formatCode>
                <c:ptCount val="11"/>
                <c:pt idx="0">
                  <c:v>0.36556636157999972</c:v>
                </c:pt>
                <c:pt idx="1">
                  <c:v>0.58351257793098676</c:v>
                </c:pt>
                <c:pt idx="2">
                  <c:v>0.72881005549831146</c:v>
                </c:pt>
                <c:pt idx="3">
                  <c:v>0.17486342227288604</c:v>
                </c:pt>
                <c:pt idx="4">
                  <c:v>0.6652424090626069</c:v>
                </c:pt>
                <c:pt idx="5">
                  <c:v>-2.4920609382185419E-2</c:v>
                </c:pt>
                <c:pt idx="6">
                  <c:v>0.81962097897788933</c:v>
                </c:pt>
                <c:pt idx="7">
                  <c:v>1.0366590860940805</c:v>
                </c:pt>
                <c:pt idx="8">
                  <c:v>1.4098919815951461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C9-4B87-A9C6-1362E9261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554719"/>
        <c:axId val="1037351743"/>
      </c:scatterChart>
      <c:valAx>
        <c:axId val="115955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351743"/>
        <c:crosses val="autoZero"/>
        <c:crossBetween val="midCat"/>
      </c:valAx>
      <c:valAx>
        <c:axId val="103735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54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90632</xdr:colOff>
      <xdr:row>14</xdr:row>
      <xdr:rowOff>108911</xdr:rowOff>
    </xdr:from>
    <xdr:to>
      <xdr:col>7</xdr:col>
      <xdr:colOff>207863</xdr:colOff>
      <xdr:row>23</xdr:row>
      <xdr:rowOff>154185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E7FF3-A175-6089-4BD8-B90E78CB6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436218</xdr:colOff>
      <xdr:row>16</xdr:row>
      <xdr:rowOff>16564</xdr:rowOff>
    </xdr:from>
    <xdr:to>
      <xdr:col>7</xdr:col>
      <xdr:colOff>302933</xdr:colOff>
      <xdr:row>27</xdr:row>
      <xdr:rowOff>42502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08F67F-C460-00A5-61DA-CCC10BAB1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39DB-0E27-414B-AADE-DA6C996C743B}">
  <dimension ref="D1:Q19"/>
  <sheetViews>
    <sheetView tabSelected="1" zoomScale="115" zoomScaleNormal="115" workbookViewId="0">
      <selection activeCell="M8" sqref="M8"/>
    </sheetView>
  </sheetViews>
  <sheetFormatPr defaultRowHeight="14.5" x14ac:dyDescent="0.35"/>
  <cols>
    <col min="4" max="4" width="10.81640625" bestFit="1" customWidth="1"/>
  </cols>
  <sheetData>
    <row r="1" spans="4:14" x14ac:dyDescent="0.35">
      <c r="D1" t="s">
        <v>0</v>
      </c>
      <c r="E1" t="s">
        <v>1</v>
      </c>
      <c r="F1" s="4" t="s">
        <v>26</v>
      </c>
      <c r="G1" t="s">
        <v>27</v>
      </c>
    </row>
    <row r="2" spans="4:14" x14ac:dyDescent="0.35">
      <c r="D2">
        <v>1.5</v>
      </c>
      <c r="E2">
        <v>0</v>
      </c>
      <c r="F2">
        <f>D2*$M$3+$M$2</f>
        <v>9.3133591141265903E-2</v>
      </c>
      <c r="G2">
        <f>1/(1+0.911075)</f>
        <v>0.52326570124144789</v>
      </c>
      <c r="I2" t="s">
        <v>2</v>
      </c>
      <c r="L2" t="s">
        <v>13</v>
      </c>
      <c r="M2">
        <v>-4.3082794078101005E-2</v>
      </c>
    </row>
    <row r="3" spans="4:14" ht="15" thickBot="1" x14ac:dyDescent="0.4">
      <c r="D3">
        <v>2.1</v>
      </c>
      <c r="E3">
        <v>0</v>
      </c>
      <c r="F3">
        <f t="shared" ref="F3:F12" si="0">D3*$M$3+$M$2</f>
        <v>0.14762014522901268</v>
      </c>
      <c r="G3">
        <f>1/(1+0.8627588)</f>
        <v>0.53683815639469801</v>
      </c>
      <c r="L3" s="1" t="s">
        <v>0</v>
      </c>
      <c r="M3" s="1">
        <v>9.0810923479577935E-2</v>
      </c>
    </row>
    <row r="4" spans="4:14" x14ac:dyDescent="0.35">
      <c r="D4">
        <v>4.5</v>
      </c>
      <c r="E4">
        <v>0</v>
      </c>
      <c r="F4">
        <f t="shared" si="0"/>
        <v>0.36556636157999972</v>
      </c>
      <c r="G4">
        <f>1/(1+0.6938036)</f>
        <v>0.59038722080883521</v>
      </c>
      <c r="I4" s="3" t="s">
        <v>3</v>
      </c>
      <c r="J4" s="3"/>
    </row>
    <row r="5" spans="4:14" x14ac:dyDescent="0.35">
      <c r="D5">
        <v>6.9</v>
      </c>
      <c r="E5">
        <v>1</v>
      </c>
      <c r="F5">
        <f t="shared" si="0"/>
        <v>0.58351257793098676</v>
      </c>
      <c r="G5">
        <f>1/(1+0.5579351)</f>
        <v>0.6418752616845208</v>
      </c>
      <c r="I5" t="s">
        <v>4</v>
      </c>
      <c r="J5">
        <v>0.85011975589225519</v>
      </c>
    </row>
    <row r="6" spans="4:14" x14ac:dyDescent="0.35">
      <c r="D6">
        <v>8.5</v>
      </c>
      <c r="E6">
        <v>1</v>
      </c>
      <c r="F6">
        <f t="shared" si="0"/>
        <v>0.72881005549831146</v>
      </c>
      <c r="I6" t="s">
        <v>5</v>
      </c>
      <c r="J6">
        <v>0.72270359935830752</v>
      </c>
    </row>
    <row r="7" spans="4:14" x14ac:dyDescent="0.35">
      <c r="D7">
        <v>2.4</v>
      </c>
      <c r="E7">
        <v>0</v>
      </c>
      <c r="F7">
        <f t="shared" si="0"/>
        <v>0.17486342227288604</v>
      </c>
      <c r="I7" t="s">
        <v>6</v>
      </c>
      <c r="J7">
        <v>0.69189288817589722</v>
      </c>
    </row>
    <row r="8" spans="4:14" x14ac:dyDescent="0.35">
      <c r="D8">
        <v>7.8</v>
      </c>
      <c r="E8">
        <v>0</v>
      </c>
      <c r="F8">
        <f t="shared" si="0"/>
        <v>0.6652424090626069</v>
      </c>
      <c r="I8" t="s">
        <v>7</v>
      </c>
      <c r="J8">
        <v>0.28987792657541966</v>
      </c>
    </row>
    <row r="9" spans="4:14" ht="15" thickBot="1" x14ac:dyDescent="0.4">
      <c r="D9">
        <v>0.2</v>
      </c>
      <c r="E9">
        <v>0</v>
      </c>
      <c r="F9">
        <f t="shared" si="0"/>
        <v>-2.4920609382185419E-2</v>
      </c>
      <c r="I9" s="1" t="s">
        <v>8</v>
      </c>
      <c r="J9" s="1">
        <v>11</v>
      </c>
    </row>
    <row r="10" spans="4:14" x14ac:dyDescent="0.35">
      <c r="D10">
        <v>9.5</v>
      </c>
      <c r="E10">
        <v>1</v>
      </c>
      <c r="F10">
        <f t="shared" si="0"/>
        <v>0.81962097897788933</v>
      </c>
    </row>
    <row r="11" spans="4:14" ht="15" thickBot="1" x14ac:dyDescent="0.4">
      <c r="D11">
        <v>11.89</v>
      </c>
      <c r="E11">
        <v>1</v>
      </c>
      <c r="F11">
        <f t="shared" si="0"/>
        <v>1.0366590860940805</v>
      </c>
      <c r="G11">
        <f>1/(1+0.3546375)</f>
        <v>0.73820487030663184</v>
      </c>
      <c r="I11" t="s">
        <v>9</v>
      </c>
    </row>
    <row r="12" spans="4:14" x14ac:dyDescent="0.35">
      <c r="D12">
        <v>16</v>
      </c>
      <c r="E12">
        <v>1</v>
      </c>
      <c r="F12">
        <f t="shared" si="0"/>
        <v>1.4098919815951461</v>
      </c>
      <c r="I12" s="2"/>
      <c r="J12" s="2" t="s">
        <v>14</v>
      </c>
      <c r="K12" s="2" t="s">
        <v>15</v>
      </c>
      <c r="L12" s="2" t="s">
        <v>16</v>
      </c>
      <c r="M12" s="2" t="s">
        <v>17</v>
      </c>
      <c r="N12" s="2" t="s">
        <v>18</v>
      </c>
    </row>
    <row r="13" spans="4:14" x14ac:dyDescent="0.35">
      <c r="I13" t="s">
        <v>10</v>
      </c>
      <c r="J13">
        <v>1</v>
      </c>
      <c r="K13">
        <v>1.9710098164317476</v>
      </c>
      <c r="L13">
        <v>1.9710098164317476</v>
      </c>
      <c r="M13">
        <v>23.456245299877928</v>
      </c>
      <c r="N13">
        <v>9.1698743254332415E-4</v>
      </c>
    </row>
    <row r="14" spans="4:14" x14ac:dyDescent="0.35">
      <c r="I14" t="s">
        <v>11</v>
      </c>
      <c r="J14">
        <v>9</v>
      </c>
      <c r="K14">
        <v>0.75626291084097963</v>
      </c>
      <c r="L14">
        <v>8.4029212315664403E-2</v>
      </c>
    </row>
    <row r="15" spans="4:14" ht="15" thickBot="1" x14ac:dyDescent="0.4">
      <c r="I15" s="1" t="s">
        <v>12</v>
      </c>
      <c r="J15" s="1">
        <v>10</v>
      </c>
      <c r="K15" s="1">
        <v>2.7272727272727271</v>
      </c>
      <c r="L15" s="1"/>
      <c r="M15" s="1"/>
      <c r="N15" s="1"/>
    </row>
    <row r="16" spans="4:14" ht="15" thickBot="1" x14ac:dyDescent="0.4"/>
    <row r="17" spans="9:17" x14ac:dyDescent="0.35">
      <c r="I17" s="2"/>
      <c r="J17" s="2" t="s">
        <v>19</v>
      </c>
      <c r="K17" s="2" t="s">
        <v>7</v>
      </c>
      <c r="L17" s="2" t="s">
        <v>20</v>
      </c>
      <c r="M17" s="2" t="s">
        <v>21</v>
      </c>
      <c r="N17" s="2" t="s">
        <v>22</v>
      </c>
      <c r="O17" s="2" t="s">
        <v>23</v>
      </c>
      <c r="P17" s="2" t="s">
        <v>24</v>
      </c>
      <c r="Q17" s="2" t="s">
        <v>25</v>
      </c>
    </row>
    <row r="18" spans="9:17" x14ac:dyDescent="0.35">
      <c r="I18" t="s">
        <v>13</v>
      </c>
      <c r="J18">
        <v>-4.3082794078101005E-2</v>
      </c>
      <c r="K18">
        <v>0.14968609355786283</v>
      </c>
      <c r="L18">
        <v>-0.28782095286257753</v>
      </c>
      <c r="M18">
        <v>0.78000161583894068</v>
      </c>
      <c r="N18">
        <v>-0.3816962627913027</v>
      </c>
      <c r="O18">
        <v>0.29553067463510069</v>
      </c>
      <c r="P18">
        <v>-0.3816962627913027</v>
      </c>
      <c r="Q18">
        <v>0.29553067463510069</v>
      </c>
    </row>
    <row r="19" spans="9:17" ht="15" thickBot="1" x14ac:dyDescent="0.4">
      <c r="I19" s="1" t="s">
        <v>0</v>
      </c>
      <c r="J19" s="1">
        <v>9.0810923479577935E-2</v>
      </c>
      <c r="K19" s="1">
        <v>1.8750326943452324E-2</v>
      </c>
      <c r="L19" s="1">
        <v>4.8431648020563935</v>
      </c>
      <c r="M19" s="1">
        <v>9.1698743254332079E-4</v>
      </c>
      <c r="N19" s="1">
        <v>4.839473707963908E-2</v>
      </c>
      <c r="O19" s="1">
        <v>0.1332271098795168</v>
      </c>
      <c r="P19" s="1">
        <v>4.839473707963908E-2</v>
      </c>
      <c r="Q19" s="1">
        <v>0.1332271098795168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Chaudhari</dc:creator>
  <cp:lastModifiedBy>Mukesh Chaudhari</cp:lastModifiedBy>
  <dcterms:created xsi:type="dcterms:W3CDTF">2026-10-12T08:53:45Z</dcterms:created>
  <dcterms:modified xsi:type="dcterms:W3CDTF">2026-10-12T09:24:04Z</dcterms:modified>
</cp:coreProperties>
</file>